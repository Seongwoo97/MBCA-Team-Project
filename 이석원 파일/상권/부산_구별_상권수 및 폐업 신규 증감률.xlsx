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25521C0-AA27-4FB7-8EF1-DF06A15C7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구별_분석표" sheetId="1" r:id="rId1"/>
    <sheet name="가동사업자_원본" sheetId="2" r:id="rId2"/>
    <sheet name="산출기준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<sst xmlns="http://schemas.openxmlformats.org/spreadsheetml/2006/main" count="156" uniqueCount="57">
  <si>
    <t>연도</t>
  </si>
  <si>
    <t>행정구</t>
  </si>
  <si>
    <t>전통시장수
(23-24 기준)</t>
  </si>
  <si>
    <t>골목상권수
(23-24 기준)</t>
  </si>
  <si>
    <t>발달상권수
(23-24 기준)</t>
  </si>
  <si>
    <t>폐업</t>
  </si>
  <si>
    <t>신규</t>
  </si>
  <si>
    <t>가동증감률</t>
  </si>
  <si>
    <t>폐업/신규</t>
  </si>
  <si>
    <t>사상구</t>
  </si>
  <si>
    <t>중구</t>
  </si>
  <si>
    <t>영도구</t>
  </si>
  <si>
    <t>서구</t>
  </si>
  <si>
    <t>금정구</t>
  </si>
  <si>
    <t>연제구</t>
  </si>
  <si>
    <t>사하구</t>
  </si>
  <si>
    <t>북구</t>
  </si>
  <si>
    <t>동래구</t>
  </si>
  <si>
    <t>기장군</t>
  </si>
  <si>
    <t>해운대구</t>
  </si>
  <si>
    <t>부산진구</t>
  </si>
  <si>
    <t>남구</t>
  </si>
  <si>
    <t>동구</t>
  </si>
  <si>
    <t>강서구</t>
  </si>
  <si>
    <t>수영구</t>
  </si>
  <si>
    <t>가동사업자수</t>
  </si>
  <si>
    <t>항목</t>
  </si>
  <si>
    <t>산출/해석 기준</t>
  </si>
  <si>
    <t>정렬</t>
  </si>
  <si>
    <t>연도는 최신순(2025→2024→2023), 각 연도 안에서는 폐업/신규율 높은 순으로 정렬</t>
  </si>
  <si>
    <t>폐업/신규율</t>
  </si>
  <si>
    <t>폐업수 ÷ 신규수. 100% 초과면 신규보다 폐업이 더 많음</t>
  </si>
  <si>
    <t>(해당연도 가동사업자수 ÷ 전년도 가동사업자수) - 1</t>
  </si>
  <si>
    <t>2023 가동증감률</t>
  </si>
  <si>
    <t>제공된 가동사업자 파일이 2023~2025라 2022 값이 없어 계산 불가 → 공란</t>
  </si>
  <si>
    <t>상권수 기준</t>
  </si>
  <si>
    <t>이전 제공된 「23-24 부산 상권영역」 285개 기준. 전통시장 154, 골목상권 37, 발달상권 94</t>
  </si>
  <si>
    <t>상권 행정구 배정</t>
  </si>
  <si>
    <t>상권 파일에 행정구 컬럼이 없어 상권 geometry와 사업체 위치를 이용해 행정구를 공간적으로 배정하고, 상권명에 행정구가 명시된 경우 그 값을 우선 적용</t>
  </si>
  <si>
    <t>주의</t>
  </si>
  <si>
    <t>상권수는 23-24 기준 고정값이므로 2025년의 신규 상권 생성·폐지는 반영하지 않음</t>
  </si>
  <si>
    <r>
      <t>명지국제신도시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명지오션시티</t>
    </r>
  </si>
  <si>
    <r>
      <t>부산대앞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장전동</t>
    </r>
  </si>
  <si>
    <r>
      <t>오시리아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기장시장</t>
    </r>
  </si>
  <si>
    <r>
      <t>경성대</t>
    </r>
    <r>
      <rPr>
        <sz val="11"/>
        <rFont val="Carlito"/>
      </rPr>
      <t>·</t>
    </r>
    <r>
      <rPr>
        <sz val="11"/>
        <rFont val="돋움"/>
        <family val="3"/>
        <charset val="129"/>
      </rPr>
      <t>부경대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대연동</t>
    </r>
  </si>
  <si>
    <r>
      <t>부산역</t>
    </r>
    <r>
      <rPr>
        <sz val="11"/>
        <rFont val="Carlito"/>
      </rPr>
      <t>·</t>
    </r>
    <r>
      <rPr>
        <sz val="11"/>
        <rFont val="돋움"/>
        <family val="3"/>
        <charset val="129"/>
      </rPr>
      <t>초량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부산진시장</t>
    </r>
  </si>
  <si>
    <r>
      <t>동래역</t>
    </r>
    <r>
      <rPr>
        <sz val="11"/>
        <rFont val="Carlito"/>
      </rPr>
      <t>·</t>
    </r>
    <r>
      <rPr>
        <sz val="11"/>
        <rFont val="돋움"/>
        <family val="3"/>
        <charset val="129"/>
      </rPr>
      <t>명륜동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온천장</t>
    </r>
  </si>
  <si>
    <r>
      <t>서면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전포카페거리</t>
    </r>
    <r>
      <rPr>
        <sz val="11"/>
        <rFont val="Carlito"/>
      </rPr>
      <t>·</t>
    </r>
    <r>
      <rPr>
        <sz val="11"/>
        <rFont val="돋움"/>
        <family val="3"/>
        <charset val="129"/>
      </rPr>
      <t>전리단길</t>
    </r>
  </si>
  <si>
    <r>
      <t>덕천동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구포시장</t>
    </r>
  </si>
  <si>
    <r>
      <t>사상역</t>
    </r>
    <r>
      <rPr>
        <sz val="11"/>
        <rFont val="Carlito"/>
      </rPr>
      <t>·</t>
    </r>
    <r>
      <rPr>
        <sz val="11"/>
        <rFont val="돋움"/>
        <family val="3"/>
        <charset val="129"/>
      </rPr>
      <t>서부버스터미널</t>
    </r>
  </si>
  <si>
    <r>
      <t>하단오거리</t>
    </r>
    <r>
      <rPr>
        <sz val="11"/>
        <rFont val="Carlito"/>
      </rPr>
      <t>·</t>
    </r>
    <r>
      <rPr>
        <sz val="11"/>
        <rFont val="돋움"/>
        <family val="3"/>
        <charset val="129"/>
      </rPr>
      <t>동아대</t>
    </r>
  </si>
  <si>
    <t>송도</t>
  </si>
  <si>
    <r>
      <t>광안리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민락</t>
    </r>
  </si>
  <si>
    <t>연산역</t>
  </si>
  <si>
    <r>
      <t>흰여울문화마을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태종대</t>
    </r>
  </si>
  <si>
    <r>
      <t>남포동</t>
    </r>
    <r>
      <rPr>
        <sz val="11"/>
        <rFont val="Carlito"/>
      </rPr>
      <t>·</t>
    </r>
    <r>
      <rPr>
        <sz val="11"/>
        <rFont val="돋움"/>
        <family val="3"/>
        <charset val="129"/>
      </rPr>
      <t>광복동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자갈치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국제시장</t>
    </r>
    <r>
      <rPr>
        <sz val="11"/>
        <rFont val="Carlito"/>
      </rPr>
      <t>·BIFF</t>
    </r>
    <r>
      <rPr>
        <sz val="11"/>
        <rFont val="돋움"/>
        <family val="3"/>
        <charset val="129"/>
      </rPr>
      <t>광장</t>
    </r>
  </si>
  <si>
    <r>
      <t>해운대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구남로</t>
    </r>
    <r>
      <rPr>
        <sz val="11"/>
        <rFont val="Carlito"/>
      </rPr>
      <t>·</t>
    </r>
    <r>
      <rPr>
        <sz val="11"/>
        <rFont val="돋움"/>
        <family val="3"/>
        <charset val="129"/>
      </rPr>
      <t>해운대시장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해리단길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센텀시티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송정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</si>
</sst>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6">
    <border>
      <left/>
      <right/>
      <top/>
      <bottom/>
      <diagonal/>
    </border>
    <border>
      <left/>
      <right/>
      <top style="medium">
        <color rgb="FF7F8C8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0" xfId="1" applyFont="1" applyFill="1" applyAlignment="1">
      <alignment horizontal="center"/>
    </xf>
    <xf numFmtId="3" fontId="0" fillId="0" borderId="0" xfId="1" applyNumberFormat="1" applyFont="1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</cellXfs>
  <cellStyles count="2">
    <cellStyle name="Normal" xfId="1" xr:uid="{00000000-0005-0000-0000-000000000000}"/>
    <cellStyle name="표준" xfId="0" builtinId="0"/>
  </cellStyles>
  <dxfs count="3">
    <dxf>
      <font>
        <b/>
        <color rgb="FFC00000"/>
      </font>
      <fill>
        <patternFill>
          <bgColor rgb="FFFCE4D6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anMarketAnalysisTable" displayName="BusanMarketAnalysisTable" ref="A1:I49" totalsRowShown="0">
  <tableColumns count="9">
    <tableColumn id="1" xr3:uid="{00000000-0010-0000-0000-000001000000}" name="연도"/>
    <tableColumn id="2" xr3:uid="{00000000-0010-0000-0000-000002000000}" name="행정구"/>
    <tableColumn id="3" xr3:uid="{00000000-0010-0000-0000-000003000000}" name="전통시장수_x000a_(23-24 기준)"/>
    <tableColumn id="4" xr3:uid="{00000000-0010-0000-0000-000004000000}" name="골목상권수_x000a_(23-24 기준)"/>
    <tableColumn id="5" xr3:uid="{00000000-0010-0000-0000-000005000000}" name="발달상권수_x000a_(23-24 기준)"/>
    <tableColumn id="6" xr3:uid="{00000000-0010-0000-0000-000006000000}" name="폐업"/>
    <tableColumn id="7" xr3:uid="{00000000-0010-0000-0000-000007000000}" name="신규"/>
    <tableColumn id="8" xr3:uid="{00000000-0010-0000-0000-000008000000}" name="가동증감률"/>
    <tableColumn id="9" xr3:uid="{00000000-0010-0000-0000-000009000000}" name="폐업/신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Q10" sqref="Q10"/>
    </sheetView>
  </sheetViews>
  <sheetFormatPr defaultRowHeight="14.25"/>
  <cols>
    <col min="1" max="1" width="9" customWidth="1"/>
    <col min="2" max="2" width="13" customWidth="1"/>
    <col min="3" max="5" width="16" customWidth="1"/>
    <col min="6" max="7" width="12" customWidth="1"/>
    <col min="8" max="9" width="14" customWidth="1"/>
  </cols>
  <sheetData>
    <row r="1" spans="1:16" ht="33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>
      <c r="A2" s="7">
        <v>2025</v>
      </c>
      <c r="B2" s="7" t="s">
        <v>9</v>
      </c>
      <c r="C2" s="7">
        <v>19</v>
      </c>
      <c r="D2" s="7">
        <v>0</v>
      </c>
      <c r="E2" s="7">
        <v>7</v>
      </c>
      <c r="F2" s="8">
        <v>3533</v>
      </c>
      <c r="G2" s="8">
        <v>3330</v>
      </c>
      <c r="H2" s="9">
        <f>IFERROR(SUMIFS(가동사업자_원본!$C$2:$C$49,가동사업자_원본!$A$2:$A$49,A2,가동사업자_원본!$B$2:$B$49,B2)/SUMIFS(가동사업자_원본!$C$2:$C$49,가동사업자_원본!$A$2:$A$49,A2-1,가동사업자_원본!$B$2:$B$49,B2)-1,"")</f>
        <v>-9.0120086124614307E-3</v>
      </c>
      <c r="I2" s="9">
        <f t="shared" ref="I2:I49" si="0">IFERROR(F2/G2,"")</f>
        <v>1.0609609609609609</v>
      </c>
    </row>
    <row r="3" spans="1:16">
      <c r="A3" s="4">
        <v>2025</v>
      </c>
      <c r="B3" s="4" t="s">
        <v>10</v>
      </c>
      <c r="C3" s="4">
        <v>18</v>
      </c>
      <c r="D3" s="4">
        <v>0</v>
      </c>
      <c r="E3" s="4">
        <v>5</v>
      </c>
      <c r="F3" s="5">
        <v>1746</v>
      </c>
      <c r="G3" s="5">
        <v>1684</v>
      </c>
      <c r="H3" s="6">
        <f>IFERROR(SUMIFS(가동사업자_원본!$C$2:$C$49,가동사업자_원본!$A$2:$A$49,A3,가동사업자_원본!$B$2:$B$49,B3)/SUMIFS(가동사업자_원본!$C$2:$C$49,가동사업자_원본!$A$2:$A$49,A3-1,가동사업자_원본!$B$2:$B$49,B3)-1,"")</f>
        <v>-8.4811454106059614E-3</v>
      </c>
      <c r="I3" s="6">
        <f t="shared" si="0"/>
        <v>1.0368171021377672</v>
      </c>
    </row>
    <row r="4" spans="1:16">
      <c r="A4" s="4">
        <v>2025</v>
      </c>
      <c r="B4" s="4" t="s">
        <v>11</v>
      </c>
      <c r="C4" s="4">
        <v>3</v>
      </c>
      <c r="D4" s="4">
        <v>0</v>
      </c>
      <c r="E4" s="4">
        <v>4</v>
      </c>
      <c r="F4" s="5">
        <v>1374</v>
      </c>
      <c r="G4" s="5">
        <v>1328</v>
      </c>
      <c r="H4" s="6">
        <f>IFERROR(SUMIFS(가동사업자_원본!$C$2:$C$49,가동사업자_원본!$A$2:$A$49,A4,가동사업자_원본!$B$2:$B$49,B4)/SUMIFS(가동사업자_원본!$C$2:$C$49,가동사업자_원본!$A$2:$A$49,A4-1,가동사업자_원본!$B$2:$B$49,B4)-1,"")</f>
        <v>-4.9912316201268236E-3</v>
      </c>
      <c r="I4" s="6">
        <f t="shared" si="0"/>
        <v>1.0346385542168675</v>
      </c>
      <c r="K4" s="12" t="s">
        <v>23</v>
      </c>
      <c r="L4" s="13" t="s">
        <v>41</v>
      </c>
      <c r="M4" s="14"/>
      <c r="N4" s="14"/>
      <c r="O4" s="14"/>
      <c r="P4" s="15"/>
    </row>
    <row r="5" spans="1:16">
      <c r="A5" s="4">
        <v>2025</v>
      </c>
      <c r="B5" s="4" t="s">
        <v>12</v>
      </c>
      <c r="C5" s="4">
        <v>8</v>
      </c>
      <c r="D5" s="4">
        <v>0</v>
      </c>
      <c r="E5" s="4">
        <v>1</v>
      </c>
      <c r="F5" s="5">
        <v>1456</v>
      </c>
      <c r="G5" s="5">
        <v>1421</v>
      </c>
      <c r="H5" s="6">
        <f>IFERROR(SUMIFS(가동사업자_원본!$C$2:$C$49,가동사업자_원본!$A$2:$A$49,A5,가동사업자_원본!$B$2:$B$49,B5)/SUMIFS(가동사업자_원본!$C$2:$C$49,가동사업자_원본!$A$2:$A$49,A5-1,가동사업자_원본!$B$2:$B$49,B5)-1,"")</f>
        <v>-5.8678402347136505E-3</v>
      </c>
      <c r="I5" s="6">
        <f t="shared" si="0"/>
        <v>1.0246305418719213</v>
      </c>
      <c r="K5" s="12" t="s">
        <v>13</v>
      </c>
      <c r="L5" s="13" t="s">
        <v>42</v>
      </c>
      <c r="M5" s="14"/>
      <c r="N5" s="14"/>
      <c r="O5" s="14"/>
      <c r="P5" s="15"/>
    </row>
    <row r="6" spans="1:16">
      <c r="A6" s="4">
        <v>2025</v>
      </c>
      <c r="B6" s="4" t="s">
        <v>13</v>
      </c>
      <c r="C6" s="4">
        <v>8</v>
      </c>
      <c r="D6" s="4">
        <v>2</v>
      </c>
      <c r="E6" s="4">
        <v>3</v>
      </c>
      <c r="F6" s="5">
        <v>3365</v>
      </c>
      <c r="G6" s="5">
        <v>3348</v>
      </c>
      <c r="H6" s="6">
        <f>IFERROR(SUMIFS(가동사업자_원본!$C$2:$C$49,가동사업자_원본!$A$2:$A$49,A6,가동사업자_원본!$B$2:$B$49,B6)/SUMIFS(가동사업자_원본!$C$2:$C$49,가동사업자_원본!$A$2:$A$49,A6-1,가동사업자_원본!$B$2:$B$49,B6)-1,"")</f>
        <v>-4.2237474643621598E-3</v>
      </c>
      <c r="I6" s="6">
        <f t="shared" si="0"/>
        <v>1.0050776583034648</v>
      </c>
      <c r="K6" s="12" t="s">
        <v>18</v>
      </c>
      <c r="L6" s="13" t="s">
        <v>43</v>
      </c>
      <c r="M6" s="14"/>
      <c r="N6" s="14"/>
      <c r="O6" s="14"/>
      <c r="P6" s="15"/>
    </row>
    <row r="7" spans="1:16">
      <c r="A7" s="4">
        <v>2025</v>
      </c>
      <c r="B7" s="4" t="s">
        <v>14</v>
      </c>
      <c r="C7" s="4">
        <v>10</v>
      </c>
      <c r="D7" s="4">
        <v>0</v>
      </c>
      <c r="E7" s="4">
        <v>9</v>
      </c>
      <c r="F7" s="5">
        <v>3648</v>
      </c>
      <c r="G7" s="5">
        <v>3736</v>
      </c>
      <c r="H7" s="6">
        <f>IFERROR(SUMIFS(가동사업자_원본!$C$2:$C$49,가동사업자_원본!$A$2:$A$49,A7,가동사업자_원본!$B$2:$B$49,B7)/SUMIFS(가동사업자_원본!$C$2:$C$49,가동사업자_원본!$A$2:$A$49,A7-1,가동사업자_원본!$B$2:$B$49,B7)-1,"")</f>
        <v>4.902389915083516E-3</v>
      </c>
      <c r="I7" s="6">
        <f t="shared" si="0"/>
        <v>0.97644539614561032</v>
      </c>
      <c r="K7" s="12" t="s">
        <v>21</v>
      </c>
      <c r="L7" s="13" t="s">
        <v>44</v>
      </c>
      <c r="M7" s="14"/>
      <c r="N7" s="14"/>
      <c r="O7" s="14"/>
      <c r="P7" s="15"/>
    </row>
    <row r="8" spans="1:16">
      <c r="A8" s="4">
        <v>2025</v>
      </c>
      <c r="B8" s="4" t="s">
        <v>15</v>
      </c>
      <c r="C8" s="4">
        <v>0</v>
      </c>
      <c r="D8" s="4">
        <v>1</v>
      </c>
      <c r="E8" s="4">
        <v>13</v>
      </c>
      <c r="F8" s="5">
        <v>3797</v>
      </c>
      <c r="G8" s="5">
        <v>3890</v>
      </c>
      <c r="H8" s="6">
        <f>IFERROR(SUMIFS(가동사업자_원본!$C$2:$C$49,가동사업자_원본!$A$2:$A$49,A8,가동사업자_원본!$B$2:$B$49,B8)/SUMIFS(가동사업자_원본!$C$2:$C$49,가동사업자_원본!$A$2:$A$49,A8-1,가동사업자_원본!$B$2:$B$49,B8)-1,"")</f>
        <v>-9.8211516592572323E-4</v>
      </c>
      <c r="I8" s="6">
        <f t="shared" si="0"/>
        <v>0.97609254498714648</v>
      </c>
      <c r="K8" s="12" t="s">
        <v>22</v>
      </c>
      <c r="L8" s="13" t="s">
        <v>45</v>
      </c>
      <c r="M8" s="14"/>
      <c r="N8" s="14"/>
      <c r="O8" s="14"/>
      <c r="P8" s="15"/>
    </row>
    <row r="9" spans="1:16">
      <c r="A9" s="4">
        <v>2025</v>
      </c>
      <c r="B9" s="4" t="s">
        <v>16</v>
      </c>
      <c r="C9" s="4">
        <v>5</v>
      </c>
      <c r="D9" s="4">
        <v>0</v>
      </c>
      <c r="E9" s="4">
        <v>6</v>
      </c>
      <c r="F9" s="5">
        <v>3275</v>
      </c>
      <c r="G9" s="5">
        <v>3442</v>
      </c>
      <c r="H9" s="6">
        <f>IFERROR(SUMIFS(가동사업자_원본!$C$2:$C$49,가동사업자_원본!$A$2:$A$49,A9,가동사업자_원본!$B$2:$B$49,B9)/SUMIFS(가동사업자_원본!$C$2:$C$49,가동사업자_원본!$A$2:$A$49,A9-1,가동사업자_원본!$B$2:$B$49,B9)-1,"")</f>
        <v>-5.7142857142855608E-4</v>
      </c>
      <c r="I9" s="6">
        <f t="shared" si="0"/>
        <v>0.95148169668797211</v>
      </c>
      <c r="K9" s="12" t="s">
        <v>17</v>
      </c>
      <c r="L9" s="13" t="s">
        <v>46</v>
      </c>
      <c r="M9" s="14"/>
      <c r="N9" s="14"/>
      <c r="O9" s="14"/>
      <c r="P9" s="15"/>
    </row>
    <row r="10" spans="1:16">
      <c r="A10" s="4">
        <v>2025</v>
      </c>
      <c r="B10" s="4" t="s">
        <v>17</v>
      </c>
      <c r="C10" s="4">
        <v>15</v>
      </c>
      <c r="D10" s="4">
        <v>4</v>
      </c>
      <c r="E10" s="4">
        <v>8</v>
      </c>
      <c r="F10" s="5">
        <v>4090</v>
      </c>
      <c r="G10" s="5">
        <v>4389</v>
      </c>
      <c r="H10" s="6">
        <f>IFERROR(SUMIFS(가동사업자_원본!$C$2:$C$49,가동사업자_원본!$A$2:$A$49,A10,가동사업자_원본!$B$2:$B$49,B10)/SUMIFS(가동사업자_원본!$C$2:$C$49,가동사업자_원본!$A$2:$A$49,A10-1,가동사업자_원본!$B$2:$B$49,B10)-1,"")</f>
        <v>6.1646410224283077E-3</v>
      </c>
      <c r="I10" s="6">
        <f t="shared" si="0"/>
        <v>0.93187514240145819</v>
      </c>
      <c r="K10" s="12" t="s">
        <v>20</v>
      </c>
      <c r="L10" s="13" t="s">
        <v>47</v>
      </c>
      <c r="M10" s="14"/>
      <c r="N10" s="14"/>
      <c r="O10" s="14"/>
      <c r="P10" s="15"/>
    </row>
    <row r="11" spans="1:16">
      <c r="A11" s="4">
        <v>2025</v>
      </c>
      <c r="B11" s="4" t="s">
        <v>18</v>
      </c>
      <c r="C11" s="4">
        <v>1</v>
      </c>
      <c r="D11" s="4">
        <v>3</v>
      </c>
      <c r="E11" s="4">
        <v>2</v>
      </c>
      <c r="F11" s="5">
        <v>3200</v>
      </c>
      <c r="G11" s="5">
        <v>3495</v>
      </c>
      <c r="H11" s="6">
        <f>IFERROR(SUMIFS(가동사업자_원본!$C$2:$C$49,가동사업자_원본!$A$2:$A$49,A11,가동사업자_원본!$B$2:$B$49,B11)/SUMIFS(가동사업자_원본!$C$2:$C$49,가동사업자_원본!$A$2:$A$49,A11-1,가동사업자_원본!$B$2:$B$49,B11)-1,"")</f>
        <v>1.4919996397586344E-2</v>
      </c>
      <c r="I11" s="6">
        <f t="shared" si="0"/>
        <v>0.91559370529327611</v>
      </c>
      <c r="K11" s="12" t="s">
        <v>16</v>
      </c>
      <c r="L11" s="13" t="s">
        <v>48</v>
      </c>
      <c r="M11" s="14"/>
      <c r="N11" s="14"/>
      <c r="O11" s="14"/>
      <c r="P11" s="15"/>
    </row>
    <row r="12" spans="1:16">
      <c r="A12" s="4">
        <v>2025</v>
      </c>
      <c r="B12" s="4" t="s">
        <v>19</v>
      </c>
      <c r="C12" s="4">
        <v>0</v>
      </c>
      <c r="D12" s="4">
        <v>16</v>
      </c>
      <c r="E12" s="4">
        <v>8</v>
      </c>
      <c r="F12" s="5">
        <v>6938</v>
      </c>
      <c r="G12" s="5">
        <v>7593</v>
      </c>
      <c r="H12" s="6">
        <f>IFERROR(SUMIFS(가동사업자_원본!$C$2:$C$49,가동사업자_원본!$A$2:$A$49,A12,가동사업자_원본!$B$2:$B$49,B12)/SUMIFS(가동사업자_원본!$C$2:$C$49,가동사업자_원본!$A$2:$A$49,A12-1,가동사업자_원본!$B$2:$B$49,B12)-1,"")</f>
        <v>4.6775810223855796E-3</v>
      </c>
      <c r="I12" s="6">
        <f t="shared" si="0"/>
        <v>0.91373633609903859</v>
      </c>
      <c r="K12" s="12" t="s">
        <v>9</v>
      </c>
      <c r="L12" s="13" t="s">
        <v>49</v>
      </c>
      <c r="M12" s="14"/>
      <c r="N12" s="14"/>
      <c r="O12" s="14"/>
      <c r="P12" s="15"/>
    </row>
    <row r="13" spans="1:16">
      <c r="A13" s="4">
        <v>2025</v>
      </c>
      <c r="B13" s="4" t="s">
        <v>20</v>
      </c>
      <c r="C13" s="4">
        <v>31</v>
      </c>
      <c r="D13" s="4">
        <v>2</v>
      </c>
      <c r="E13" s="4">
        <v>10</v>
      </c>
      <c r="F13" s="5">
        <v>6911</v>
      </c>
      <c r="G13" s="5">
        <v>7598</v>
      </c>
      <c r="H13" s="6">
        <f>IFERROR(SUMIFS(가동사업자_원본!$C$2:$C$49,가동사업자_원본!$A$2:$A$49,A13,가동사업자_원본!$B$2:$B$49,B13)/SUMIFS(가동사업자_원본!$C$2:$C$49,가동사업자_원본!$A$2:$A$49,A13-1,가동사업자_원본!$B$2:$B$49,B13)-1,"")</f>
        <v>3.2934677027682824E-3</v>
      </c>
      <c r="I13" s="6">
        <f t="shared" si="0"/>
        <v>0.90958146880758095</v>
      </c>
      <c r="K13" s="12" t="s">
        <v>15</v>
      </c>
      <c r="L13" s="13" t="s">
        <v>50</v>
      </c>
      <c r="M13" s="14"/>
      <c r="N13" s="14"/>
      <c r="O13" s="14"/>
      <c r="P13" s="15"/>
    </row>
    <row r="14" spans="1:16">
      <c r="A14" s="4">
        <v>2025</v>
      </c>
      <c r="B14" s="4" t="s">
        <v>21</v>
      </c>
      <c r="C14" s="4">
        <v>0</v>
      </c>
      <c r="D14" s="4">
        <v>3</v>
      </c>
      <c r="E14" s="4">
        <v>6</v>
      </c>
      <c r="F14" s="5">
        <v>3676</v>
      </c>
      <c r="G14" s="5">
        <v>4053</v>
      </c>
      <c r="H14" s="6">
        <f>IFERROR(SUMIFS(가동사업자_원본!$C$2:$C$49,가동사업자_원본!$A$2:$A$49,A14,가동사업자_원본!$B$2:$B$49,B14)/SUMIFS(가동사업자_원본!$C$2:$C$49,가동사업자_원본!$A$2:$A$49,A14-1,가동사업자_원본!$B$2:$B$49,B14)-1,"")</f>
        <v>1.2101060205500058E-2</v>
      </c>
      <c r="I14" s="6">
        <f t="shared" si="0"/>
        <v>0.90698248211201582</v>
      </c>
      <c r="K14" s="12" t="s">
        <v>12</v>
      </c>
      <c r="L14" s="13" t="s">
        <v>51</v>
      </c>
      <c r="M14" s="14"/>
      <c r="N14" s="14"/>
      <c r="O14" s="14"/>
      <c r="P14" s="15"/>
    </row>
    <row r="15" spans="1:16">
      <c r="A15" s="4">
        <v>2025</v>
      </c>
      <c r="B15" s="4" t="s">
        <v>22</v>
      </c>
      <c r="C15" s="4">
        <v>12</v>
      </c>
      <c r="D15" s="4">
        <v>0</v>
      </c>
      <c r="E15" s="4">
        <v>6</v>
      </c>
      <c r="F15" s="5">
        <v>2277</v>
      </c>
      <c r="G15" s="5">
        <v>2547</v>
      </c>
      <c r="H15" s="6">
        <f>IFERROR(SUMIFS(가동사업자_원본!$C$2:$C$49,가동사업자_원본!$A$2:$A$49,A15,가동사업자_원본!$B$2:$B$49,B15)/SUMIFS(가동사업자_원본!$C$2:$C$49,가동사업자_원본!$A$2:$A$49,A15-1,가동사업자_원본!$B$2:$B$49,B15)-1,"")</f>
        <v>8.4683357879233867E-3</v>
      </c>
      <c r="I15" s="6">
        <f t="shared" si="0"/>
        <v>0.89399293286219084</v>
      </c>
      <c r="K15" s="12" t="s">
        <v>24</v>
      </c>
      <c r="L15" s="13" t="s">
        <v>52</v>
      </c>
      <c r="M15" s="14"/>
      <c r="N15" s="14"/>
      <c r="O15" s="14"/>
      <c r="P15" s="15"/>
    </row>
    <row r="16" spans="1:16">
      <c r="A16" s="4">
        <v>2025</v>
      </c>
      <c r="B16" s="4" t="s">
        <v>23</v>
      </c>
      <c r="C16" s="4">
        <v>4</v>
      </c>
      <c r="D16" s="4">
        <v>5</v>
      </c>
      <c r="E16" s="4">
        <v>0</v>
      </c>
      <c r="F16" s="5">
        <v>3850</v>
      </c>
      <c r="G16" s="5">
        <v>4740</v>
      </c>
      <c r="H16" s="6">
        <f>IFERROR(SUMIFS(가동사업자_원본!$C$2:$C$49,가동사업자_원본!$A$2:$A$49,A16,가동사업자_원본!$B$2:$B$49,B16)/SUMIFS(가동사업자_원본!$C$2:$C$49,가동사업자_원본!$A$2:$A$49,A16-1,가동사업자_원본!$B$2:$B$49,B16)-1,"")</f>
        <v>2.2248413043028714E-2</v>
      </c>
      <c r="I16" s="6">
        <f t="shared" si="0"/>
        <v>0.81223628691983119</v>
      </c>
      <c r="K16" s="12" t="s">
        <v>14</v>
      </c>
      <c r="L16" s="13" t="s">
        <v>53</v>
      </c>
      <c r="M16" s="14"/>
      <c r="N16" s="14"/>
      <c r="O16" s="14"/>
      <c r="P16" s="15"/>
    </row>
    <row r="17" spans="1:16">
      <c r="A17" s="4">
        <v>2025</v>
      </c>
      <c r="B17" s="4" t="s">
        <v>24</v>
      </c>
      <c r="C17" s="4">
        <v>20</v>
      </c>
      <c r="D17" s="4">
        <v>1</v>
      </c>
      <c r="E17" s="4">
        <v>6</v>
      </c>
      <c r="F17" s="5">
        <v>3515</v>
      </c>
      <c r="G17" s="5">
        <v>4403</v>
      </c>
      <c r="H17" s="6">
        <f>IFERROR(SUMIFS(가동사업자_원본!$C$2:$C$49,가동사업자_원본!$A$2:$A$49,A17,가동사업자_원본!$B$2:$B$49,B17)/SUMIFS(가동사업자_원본!$C$2:$C$49,가동사업자_원본!$A$2:$A$49,A17-1,가동사업자_원본!$B$2:$B$49,B17)-1,"")</f>
        <v>2.3952795466495314E-2</v>
      </c>
      <c r="I17" s="6">
        <f t="shared" si="0"/>
        <v>0.79831932773109249</v>
      </c>
      <c r="K17" s="12" t="s">
        <v>11</v>
      </c>
      <c r="L17" s="13" t="s">
        <v>54</v>
      </c>
      <c r="M17" s="14"/>
      <c r="N17" s="14"/>
      <c r="O17" s="14"/>
      <c r="P17" s="15"/>
    </row>
    <row r="18" spans="1:16">
      <c r="A18" s="7">
        <v>2024</v>
      </c>
      <c r="B18" s="7" t="s">
        <v>10</v>
      </c>
      <c r="C18" s="7">
        <v>18</v>
      </c>
      <c r="D18" s="7">
        <v>0</v>
      </c>
      <c r="E18" s="7">
        <v>5</v>
      </c>
      <c r="F18" s="8">
        <v>1870</v>
      </c>
      <c r="G18" s="8">
        <v>1717</v>
      </c>
      <c r="H18" s="9">
        <f>IFERROR(SUMIFS(가동사업자_원본!$C$2:$C$49,가동사업자_원본!$A$2:$A$49,A18,가동사업자_원본!$B$2:$B$49,B18)/SUMIFS(가동사업자_원본!$C$2:$C$49,가동사업자_원본!$A$2:$A$49,A18-1,가동사업자_원본!$B$2:$B$49,B18)-1,"")</f>
        <v>-1.8615474112856356E-2</v>
      </c>
      <c r="I18" s="9">
        <f t="shared" si="0"/>
        <v>1.0891089108910892</v>
      </c>
      <c r="K18" s="12" t="s">
        <v>10</v>
      </c>
      <c r="L18" s="13" t="s">
        <v>55</v>
      </c>
      <c r="M18" s="14"/>
      <c r="N18" s="14"/>
      <c r="O18" s="14"/>
      <c r="P18" s="15"/>
    </row>
    <row r="19" spans="1:16">
      <c r="A19" s="4">
        <v>2024</v>
      </c>
      <c r="B19" s="4" t="s">
        <v>9</v>
      </c>
      <c r="C19" s="4">
        <v>19</v>
      </c>
      <c r="D19" s="4">
        <v>0</v>
      </c>
      <c r="E19" s="4">
        <v>7</v>
      </c>
      <c r="F19" s="5">
        <v>3730</v>
      </c>
      <c r="G19" s="5">
        <v>3602</v>
      </c>
      <c r="H19" s="6">
        <f>IFERROR(SUMIFS(가동사업자_원본!$C$2:$C$49,가동사업자_원본!$A$2:$A$49,A19,가동사업자_원본!$B$2:$B$49,B19)/SUMIFS(가동사업자_원본!$C$2:$C$49,가동사업자_원본!$A$2:$A$49,A19-1,가동사업자_원본!$B$2:$B$49,B19)-1,"")</f>
        <v>-5.2112085145847864E-3</v>
      </c>
      <c r="I19" s="6">
        <f t="shared" si="0"/>
        <v>1.0355358134369794</v>
      </c>
      <c r="K19" s="12" t="s">
        <v>19</v>
      </c>
      <c r="L19" s="13" t="s">
        <v>56</v>
      </c>
      <c r="M19" s="14"/>
      <c r="N19" s="14"/>
      <c r="O19" s="14"/>
      <c r="P19" s="15"/>
    </row>
    <row r="20" spans="1:16">
      <c r="A20" s="4">
        <v>2024</v>
      </c>
      <c r="B20" s="4" t="s">
        <v>12</v>
      </c>
      <c r="C20" s="4">
        <v>8</v>
      </c>
      <c r="D20" s="4">
        <v>0</v>
      </c>
      <c r="E20" s="4">
        <v>1</v>
      </c>
      <c r="F20" s="5">
        <v>1451</v>
      </c>
      <c r="G20" s="5">
        <v>1430</v>
      </c>
      <c r="H20" s="6">
        <f>IFERROR(SUMIFS(가동사업자_원본!$C$2:$C$49,가동사업자_원본!$A$2:$A$49,A20,가동사업자_원본!$B$2:$B$49,B20)/SUMIFS(가동사업자_원본!$C$2:$C$49,가동사업자_원본!$A$2:$A$49,A20-1,가동사업자_원본!$B$2:$B$49,B20)-1,"")</f>
        <v>-6.0312831389183197E-3</v>
      </c>
      <c r="I20" s="6">
        <f t="shared" si="0"/>
        <v>1.0146853146853148</v>
      </c>
    </row>
    <row r="21" spans="1:16">
      <c r="A21" s="4">
        <v>2024</v>
      </c>
      <c r="B21" s="4" t="s">
        <v>11</v>
      </c>
      <c r="C21" s="4">
        <v>3</v>
      </c>
      <c r="D21" s="4">
        <v>0</v>
      </c>
      <c r="E21" s="4">
        <v>4</v>
      </c>
      <c r="F21" s="5">
        <v>1459</v>
      </c>
      <c r="G21" s="5">
        <v>1449</v>
      </c>
      <c r="H21" s="6">
        <f>IFERROR(SUMIFS(가동사업자_원본!$C$2:$C$49,가동사업자_원본!$A$2:$A$49,A21,가동사업자_원본!$B$2:$B$49,B21)/SUMIFS(가동사업자_원본!$C$2:$C$49,가동사업자_원본!$A$2:$A$49,A21-1,가동사업자_원본!$B$2:$B$49,B21)-1,"")</f>
        <v>-3.8298730094739053E-3</v>
      </c>
      <c r="I21" s="6">
        <f t="shared" si="0"/>
        <v>1.0069013112491374</v>
      </c>
    </row>
    <row r="22" spans="1:16">
      <c r="A22" s="4">
        <v>2024</v>
      </c>
      <c r="B22" s="4" t="s">
        <v>13</v>
      </c>
      <c r="C22" s="4">
        <v>8</v>
      </c>
      <c r="D22" s="4">
        <v>2</v>
      </c>
      <c r="E22" s="4">
        <v>3</v>
      </c>
      <c r="F22" s="5">
        <v>3503</v>
      </c>
      <c r="G22" s="5">
        <v>3547</v>
      </c>
      <c r="H22" s="6">
        <f>IFERROR(SUMIFS(가동사업자_원본!$C$2:$C$49,가동사업자_원본!$A$2:$A$49,A22,가동사업자_원본!$B$2:$B$49,B22)/SUMIFS(가동사업자_원본!$C$2:$C$49,가동사업자_원본!$A$2:$A$49,A22-1,가동사업자_원본!$B$2:$B$49,B22)-1,"")</f>
        <v>-3.9854972184550919E-3</v>
      </c>
      <c r="I22" s="6">
        <f t="shared" si="0"/>
        <v>0.98759515083168881</v>
      </c>
    </row>
    <row r="23" spans="1:16">
      <c r="A23" s="4">
        <v>2024</v>
      </c>
      <c r="B23" s="4" t="s">
        <v>15</v>
      </c>
      <c r="C23" s="4">
        <v>0</v>
      </c>
      <c r="D23" s="4">
        <v>1</v>
      </c>
      <c r="E23" s="4">
        <v>13</v>
      </c>
      <c r="F23" s="5">
        <v>4046</v>
      </c>
      <c r="G23" s="5">
        <v>4290</v>
      </c>
      <c r="H23" s="6">
        <f>IFERROR(SUMIFS(가동사업자_원본!$C$2:$C$49,가동사업자_원본!$A$2:$A$49,A23,가동사업자_원본!$B$2:$B$49,B23)/SUMIFS(가동사업자_원본!$C$2:$C$49,가동사업자_원본!$A$2:$A$49,A23-1,가동사업자_원본!$B$2:$B$49,B23)-1,"")</f>
        <v>9.3916310132526881E-3</v>
      </c>
      <c r="I23" s="6">
        <f t="shared" si="0"/>
        <v>0.94312354312354307</v>
      </c>
    </row>
    <row r="24" spans="1:16">
      <c r="A24" s="4">
        <v>2024</v>
      </c>
      <c r="B24" s="4" t="s">
        <v>22</v>
      </c>
      <c r="C24" s="4">
        <v>12</v>
      </c>
      <c r="D24" s="4">
        <v>0</v>
      </c>
      <c r="E24" s="4">
        <v>6</v>
      </c>
      <c r="F24" s="5">
        <v>2126</v>
      </c>
      <c r="G24" s="5">
        <v>2270</v>
      </c>
      <c r="H24" s="6">
        <f>IFERROR(SUMIFS(가동사업자_원본!$C$2:$C$49,가동사업자_원본!$A$2:$A$49,A24,가동사업자_원본!$B$2:$B$49,B24)/SUMIFS(가동사업자_원본!$C$2:$C$49,가동사업자_원본!$A$2:$A$49,A24-1,가동사업자_원본!$B$2:$B$49,B24)-1,"")</f>
        <v>1.1467889908256534E-3</v>
      </c>
      <c r="I24" s="6">
        <f t="shared" si="0"/>
        <v>0.93656387665198237</v>
      </c>
    </row>
    <row r="25" spans="1:16">
      <c r="A25" s="4">
        <v>2024</v>
      </c>
      <c r="B25" s="4" t="s">
        <v>16</v>
      </c>
      <c r="C25" s="4">
        <v>5</v>
      </c>
      <c r="D25" s="4">
        <v>0</v>
      </c>
      <c r="E25" s="4">
        <v>6</v>
      </c>
      <c r="F25" s="5">
        <v>3403</v>
      </c>
      <c r="G25" s="5">
        <v>3644</v>
      </c>
      <c r="H25" s="6">
        <f>IFERROR(SUMIFS(가동사업자_원본!$C$2:$C$49,가동사업자_원본!$A$2:$A$49,A25,가동사업자_원본!$B$2:$B$49,B25)/SUMIFS(가동사업자_원본!$C$2:$C$49,가동사업자_원본!$A$2:$A$49,A25-1,가동사업자_원본!$B$2:$B$49,B25)-1,"")</f>
        <v>3.3050047214353562E-3</v>
      </c>
      <c r="I25" s="6">
        <f t="shared" si="0"/>
        <v>0.93386388583973656</v>
      </c>
    </row>
    <row r="26" spans="1:16">
      <c r="A26" s="4">
        <v>2024</v>
      </c>
      <c r="B26" s="4" t="s">
        <v>20</v>
      </c>
      <c r="C26" s="4">
        <v>31</v>
      </c>
      <c r="D26" s="4">
        <v>2</v>
      </c>
      <c r="E26" s="4">
        <v>10</v>
      </c>
      <c r="F26" s="5">
        <v>7315</v>
      </c>
      <c r="G26" s="5">
        <v>7991</v>
      </c>
      <c r="H26" s="6">
        <f>IFERROR(SUMIFS(가동사업자_원본!$C$2:$C$49,가동사업자_원본!$A$2:$A$49,A26,가동사업자_원본!$B$2:$B$49,B26)/SUMIFS(가동사업자_원본!$C$2:$C$49,가동사업자_원본!$A$2:$A$49,A26-1,가동사업자_원본!$B$2:$B$49,B26)-1,"")</f>
        <v>9.8551613150432704E-3</v>
      </c>
      <c r="I26" s="6">
        <f t="shared" si="0"/>
        <v>0.91540483043423848</v>
      </c>
    </row>
    <row r="27" spans="1:16">
      <c r="A27" s="4">
        <v>2024</v>
      </c>
      <c r="B27" s="4" t="s">
        <v>21</v>
      </c>
      <c r="C27" s="4">
        <v>0</v>
      </c>
      <c r="D27" s="4">
        <v>3</v>
      </c>
      <c r="E27" s="4">
        <v>6</v>
      </c>
      <c r="F27" s="5">
        <v>3956</v>
      </c>
      <c r="G27" s="5">
        <v>4334</v>
      </c>
      <c r="H27" s="6">
        <f>IFERROR(SUMIFS(가동사업자_원본!$C$2:$C$49,가동사업자_원본!$A$2:$A$49,A27,가동사업자_원본!$B$2:$B$49,B27)/SUMIFS(가동사업자_원본!$C$2:$C$49,가동사업자_원본!$A$2:$A$49,A27-1,가동사업자_원본!$B$2:$B$49,B27)-1,"")</f>
        <v>7.5239585907680429E-3</v>
      </c>
      <c r="I27" s="6">
        <f t="shared" si="0"/>
        <v>0.91278264882325799</v>
      </c>
    </row>
    <row r="28" spans="1:16">
      <c r="A28" s="4">
        <v>2024</v>
      </c>
      <c r="B28" s="4" t="s">
        <v>17</v>
      </c>
      <c r="C28" s="4">
        <v>15</v>
      </c>
      <c r="D28" s="4">
        <v>4</v>
      </c>
      <c r="E28" s="4">
        <v>8</v>
      </c>
      <c r="F28" s="5">
        <v>4149</v>
      </c>
      <c r="G28" s="5">
        <v>4561</v>
      </c>
      <c r="H28" s="6">
        <f>IFERROR(SUMIFS(가동사업자_원본!$C$2:$C$49,가동사업자_원본!$A$2:$A$49,A28,가동사업자_원본!$B$2:$B$49,B28)/SUMIFS(가동사업자_원본!$C$2:$C$49,가동사업자_원본!$A$2:$A$49,A28-1,가동사업자_원본!$B$2:$B$49,B28)-1,"")</f>
        <v>1.3048665938919957E-2</v>
      </c>
      <c r="I28" s="6">
        <f t="shared" si="0"/>
        <v>0.9096689322516992</v>
      </c>
    </row>
    <row r="29" spans="1:16">
      <c r="A29" s="4">
        <v>2024</v>
      </c>
      <c r="B29" s="4" t="s">
        <v>18</v>
      </c>
      <c r="C29" s="4">
        <v>1</v>
      </c>
      <c r="D29" s="4">
        <v>3</v>
      </c>
      <c r="E29" s="4">
        <v>2</v>
      </c>
      <c r="F29" s="5">
        <v>3421</v>
      </c>
      <c r="G29" s="5">
        <v>3783</v>
      </c>
      <c r="H29" s="6">
        <f>IFERROR(SUMIFS(가동사업자_원본!$C$2:$C$49,가동사업자_원본!$A$2:$A$49,A29,가동사업자_원본!$B$2:$B$49,B29)/SUMIFS(가동사업자_원본!$C$2:$C$49,가동사업자_원본!$A$2:$A$49,A29-1,가동사업자_원본!$B$2:$B$49,B29)-1,"")</f>
        <v>1.074126892617655E-2</v>
      </c>
      <c r="I29" s="6">
        <f t="shared" si="0"/>
        <v>0.90430874966957442</v>
      </c>
    </row>
    <row r="30" spans="1:16">
      <c r="A30" s="4">
        <v>2024</v>
      </c>
      <c r="B30" s="4" t="s">
        <v>19</v>
      </c>
      <c r="C30" s="4">
        <v>0</v>
      </c>
      <c r="D30" s="4">
        <v>16</v>
      </c>
      <c r="E30" s="4">
        <v>8</v>
      </c>
      <c r="F30" s="5">
        <v>7301</v>
      </c>
      <c r="G30" s="5">
        <v>8187</v>
      </c>
      <c r="H30" s="6">
        <f>IFERROR(SUMIFS(가동사업자_원본!$C$2:$C$49,가동사업자_원본!$A$2:$A$49,A30,가동사업자_원본!$B$2:$B$49,B30)/SUMIFS(가동사업자_원본!$C$2:$C$49,가동사업자_원본!$A$2:$A$49,A30-1,가동사업자_원본!$B$2:$B$49,B30)-1,"")</f>
        <v>1.0053854915139881E-2</v>
      </c>
      <c r="I30" s="6">
        <f t="shared" si="0"/>
        <v>0.89177965066568954</v>
      </c>
    </row>
    <row r="31" spans="1:16">
      <c r="A31" s="4">
        <v>2024</v>
      </c>
      <c r="B31" s="4" t="s">
        <v>23</v>
      </c>
      <c r="C31" s="4">
        <v>4</v>
      </c>
      <c r="D31" s="4">
        <v>5</v>
      </c>
      <c r="E31" s="4">
        <v>0</v>
      </c>
      <c r="F31" s="5">
        <v>4123</v>
      </c>
      <c r="G31" s="5">
        <v>4811</v>
      </c>
      <c r="H31" s="6">
        <f>IFERROR(SUMIFS(가동사업자_원본!$C$2:$C$49,가동사업자_원본!$A$2:$A$49,A31,가동사업자_원본!$B$2:$B$49,B31)/SUMIFS(가동사업자_원본!$C$2:$C$49,가동사업자_원본!$A$2:$A$49,A31-1,가동사업자_원본!$B$2:$B$49,B31)-1,"")</f>
        <v>1.3665611703799874E-2</v>
      </c>
      <c r="I31" s="6">
        <f t="shared" si="0"/>
        <v>0.85699438786115156</v>
      </c>
    </row>
    <row r="32" spans="1:16">
      <c r="A32" s="4">
        <v>2024</v>
      </c>
      <c r="B32" s="4" t="s">
        <v>24</v>
      </c>
      <c r="C32" s="4">
        <v>20</v>
      </c>
      <c r="D32" s="4">
        <v>1</v>
      </c>
      <c r="E32" s="4">
        <v>6</v>
      </c>
      <c r="F32" s="5">
        <v>3702</v>
      </c>
      <c r="G32" s="5">
        <v>4359</v>
      </c>
      <c r="H32" s="6">
        <f>IFERROR(SUMIFS(가동사업자_원본!$C$2:$C$49,가동사업자_원본!$A$2:$A$49,A32,가동사업자_원본!$B$2:$B$49,B32)/SUMIFS(가동사업자_원본!$C$2:$C$49,가동사업자_원본!$A$2:$A$49,A32-1,가동사업자_원본!$B$2:$B$49,B32)-1,"")</f>
        <v>1.3289921562823714E-2</v>
      </c>
      <c r="I32" s="6">
        <f t="shared" si="0"/>
        <v>0.84927735719201647</v>
      </c>
    </row>
    <row r="33" spans="1:9">
      <c r="A33" s="4">
        <v>2024</v>
      </c>
      <c r="B33" s="4" t="s">
        <v>14</v>
      </c>
      <c r="C33" s="4">
        <v>10</v>
      </c>
      <c r="D33" s="4">
        <v>0</v>
      </c>
      <c r="E33" s="4">
        <v>9</v>
      </c>
      <c r="F33" s="5">
        <v>3609</v>
      </c>
      <c r="G33" s="5">
        <v>4276</v>
      </c>
      <c r="H33" s="6">
        <f>IFERROR(SUMIFS(가동사업자_원본!$C$2:$C$49,가동사업자_원본!$A$2:$A$49,A33,가동사업자_원본!$B$2:$B$49,B33)/SUMIFS(가동사업자_원본!$C$2:$C$49,가동사업자_원본!$A$2:$A$49,A33-1,가동사업자_원본!$B$2:$B$49,B33)-1,"")</f>
        <v>1.9455600178491794E-2</v>
      </c>
      <c r="I33" s="6">
        <f t="shared" si="0"/>
        <v>0.84401309635173061</v>
      </c>
    </row>
    <row r="34" spans="1:9">
      <c r="A34" s="7">
        <v>2023</v>
      </c>
      <c r="B34" s="7" t="s">
        <v>10</v>
      </c>
      <c r="C34" s="7">
        <v>18</v>
      </c>
      <c r="D34" s="7">
        <v>0</v>
      </c>
      <c r="E34" s="7">
        <v>5</v>
      </c>
      <c r="F34" s="8">
        <v>1892</v>
      </c>
      <c r="G34" s="8">
        <v>1913</v>
      </c>
      <c r="H34" s="9"/>
      <c r="I34" s="9">
        <f t="shared" si="0"/>
        <v>0.98902247778358598</v>
      </c>
    </row>
    <row r="35" spans="1:9">
      <c r="A35" s="4">
        <v>2023</v>
      </c>
      <c r="B35" s="4" t="s">
        <v>9</v>
      </c>
      <c r="C35" s="4">
        <v>19</v>
      </c>
      <c r="D35" s="4">
        <v>0</v>
      </c>
      <c r="E35" s="4">
        <v>7</v>
      </c>
      <c r="F35" s="5">
        <v>3927</v>
      </c>
      <c r="G35" s="5">
        <v>4063</v>
      </c>
      <c r="H35" s="6"/>
      <c r="I35" s="6">
        <f t="shared" si="0"/>
        <v>0.96652719665271969</v>
      </c>
    </row>
    <row r="36" spans="1:9">
      <c r="A36" s="4">
        <v>2023</v>
      </c>
      <c r="B36" s="4" t="s">
        <v>13</v>
      </c>
      <c r="C36" s="4">
        <v>8</v>
      </c>
      <c r="D36" s="4">
        <v>2</v>
      </c>
      <c r="E36" s="4">
        <v>3</v>
      </c>
      <c r="F36" s="5">
        <v>3645</v>
      </c>
      <c r="G36" s="5">
        <v>3788</v>
      </c>
      <c r="H36" s="6"/>
      <c r="I36" s="6">
        <f t="shared" si="0"/>
        <v>0.96224920802534319</v>
      </c>
    </row>
    <row r="37" spans="1:9">
      <c r="A37" s="4">
        <v>2023</v>
      </c>
      <c r="B37" s="4" t="s">
        <v>22</v>
      </c>
      <c r="C37" s="4">
        <v>12</v>
      </c>
      <c r="D37" s="4">
        <v>0</v>
      </c>
      <c r="E37" s="4">
        <v>6</v>
      </c>
      <c r="F37" s="5">
        <v>2212</v>
      </c>
      <c r="G37" s="5">
        <v>2396</v>
      </c>
      <c r="H37" s="6"/>
      <c r="I37" s="6">
        <f t="shared" si="0"/>
        <v>0.92320534223706174</v>
      </c>
    </row>
    <row r="38" spans="1:9">
      <c r="A38" s="4">
        <v>2023</v>
      </c>
      <c r="B38" s="4" t="s">
        <v>16</v>
      </c>
      <c r="C38" s="4">
        <v>5</v>
      </c>
      <c r="D38" s="4">
        <v>0</v>
      </c>
      <c r="E38" s="4">
        <v>6</v>
      </c>
      <c r="F38" s="5">
        <v>3486</v>
      </c>
      <c r="G38" s="5">
        <v>3838</v>
      </c>
      <c r="H38" s="6"/>
      <c r="I38" s="6">
        <f t="shared" si="0"/>
        <v>0.90828556539864513</v>
      </c>
    </row>
    <row r="39" spans="1:9">
      <c r="A39" s="4">
        <v>2023</v>
      </c>
      <c r="B39" s="4" t="s">
        <v>12</v>
      </c>
      <c r="C39" s="4">
        <v>8</v>
      </c>
      <c r="D39" s="4">
        <v>0</v>
      </c>
      <c r="E39" s="4">
        <v>1</v>
      </c>
      <c r="F39" s="5">
        <v>1434</v>
      </c>
      <c r="G39" s="5">
        <v>1601</v>
      </c>
      <c r="H39" s="6"/>
      <c r="I39" s="6">
        <f t="shared" si="0"/>
        <v>0.89569019362898183</v>
      </c>
    </row>
    <row r="40" spans="1:9">
      <c r="A40" s="4">
        <v>2023</v>
      </c>
      <c r="B40" s="4" t="s">
        <v>19</v>
      </c>
      <c r="C40" s="4">
        <v>0</v>
      </c>
      <c r="D40" s="4">
        <v>16</v>
      </c>
      <c r="E40" s="4">
        <v>8</v>
      </c>
      <c r="F40" s="5">
        <v>8005</v>
      </c>
      <c r="G40" s="5">
        <v>8948</v>
      </c>
      <c r="H40" s="6"/>
      <c r="I40" s="6">
        <f t="shared" si="0"/>
        <v>0.89461332141260619</v>
      </c>
    </row>
    <row r="41" spans="1:9">
      <c r="A41" s="4">
        <v>2023</v>
      </c>
      <c r="B41" s="4" t="s">
        <v>11</v>
      </c>
      <c r="C41" s="4">
        <v>3</v>
      </c>
      <c r="D41" s="4">
        <v>0</v>
      </c>
      <c r="E41" s="4">
        <v>4</v>
      </c>
      <c r="F41" s="5">
        <v>1360</v>
      </c>
      <c r="G41" s="5">
        <v>1529</v>
      </c>
      <c r="H41" s="6"/>
      <c r="I41" s="6">
        <f t="shared" si="0"/>
        <v>0.88947024198822755</v>
      </c>
    </row>
    <row r="42" spans="1:9">
      <c r="A42" s="4">
        <v>2023</v>
      </c>
      <c r="B42" s="4" t="s">
        <v>17</v>
      </c>
      <c r="C42" s="4">
        <v>15</v>
      </c>
      <c r="D42" s="4">
        <v>4</v>
      </c>
      <c r="E42" s="4">
        <v>8</v>
      </c>
      <c r="F42" s="5">
        <v>4195</v>
      </c>
      <c r="G42" s="5">
        <v>4841</v>
      </c>
      <c r="H42" s="6"/>
      <c r="I42" s="6">
        <f t="shared" si="0"/>
        <v>0.86655649659161327</v>
      </c>
    </row>
    <row r="43" spans="1:9">
      <c r="A43" s="4">
        <v>2023</v>
      </c>
      <c r="B43" s="4" t="s">
        <v>21</v>
      </c>
      <c r="C43" s="4">
        <v>0</v>
      </c>
      <c r="D43" s="4">
        <v>3</v>
      </c>
      <c r="E43" s="4">
        <v>6</v>
      </c>
      <c r="F43" s="5">
        <v>4104</v>
      </c>
      <c r="G43" s="5">
        <v>4741</v>
      </c>
      <c r="H43" s="6"/>
      <c r="I43" s="6">
        <f t="shared" si="0"/>
        <v>0.86564016030373336</v>
      </c>
    </row>
    <row r="44" spans="1:9">
      <c r="A44" s="4">
        <v>2023</v>
      </c>
      <c r="B44" s="4" t="s">
        <v>14</v>
      </c>
      <c r="C44" s="4">
        <v>10</v>
      </c>
      <c r="D44" s="4">
        <v>0</v>
      </c>
      <c r="E44" s="4">
        <v>9</v>
      </c>
      <c r="F44" s="5">
        <v>3616</v>
      </c>
      <c r="G44" s="5">
        <v>4332</v>
      </c>
      <c r="H44" s="6"/>
      <c r="I44" s="6">
        <f t="shared" si="0"/>
        <v>0.83471837488457989</v>
      </c>
    </row>
    <row r="45" spans="1:9">
      <c r="A45" s="4">
        <v>2023</v>
      </c>
      <c r="B45" s="4" t="s">
        <v>15</v>
      </c>
      <c r="C45" s="4">
        <v>0</v>
      </c>
      <c r="D45" s="4">
        <v>1</v>
      </c>
      <c r="E45" s="4">
        <v>13</v>
      </c>
      <c r="F45" s="5">
        <v>4102</v>
      </c>
      <c r="G45" s="5">
        <v>4961</v>
      </c>
      <c r="H45" s="6"/>
      <c r="I45" s="6">
        <f t="shared" si="0"/>
        <v>0.82684942551904861</v>
      </c>
    </row>
    <row r="46" spans="1:9">
      <c r="A46" s="4">
        <v>2023</v>
      </c>
      <c r="B46" s="4" t="s">
        <v>18</v>
      </c>
      <c r="C46" s="4">
        <v>1</v>
      </c>
      <c r="D46" s="4">
        <v>3</v>
      </c>
      <c r="E46" s="4">
        <v>2</v>
      </c>
      <c r="F46" s="5">
        <v>3429</v>
      </c>
      <c r="G46" s="5">
        <v>4220</v>
      </c>
      <c r="H46" s="6"/>
      <c r="I46" s="6">
        <f t="shared" si="0"/>
        <v>0.81255924170616112</v>
      </c>
    </row>
    <row r="47" spans="1:9">
      <c r="A47" s="4">
        <v>2023</v>
      </c>
      <c r="B47" s="4" t="s">
        <v>20</v>
      </c>
      <c r="C47" s="4">
        <v>31</v>
      </c>
      <c r="D47" s="4">
        <v>2</v>
      </c>
      <c r="E47" s="4">
        <v>10</v>
      </c>
      <c r="F47" s="5">
        <v>7057</v>
      </c>
      <c r="G47" s="5">
        <v>8688</v>
      </c>
      <c r="H47" s="6"/>
      <c r="I47" s="6">
        <f t="shared" si="0"/>
        <v>0.81226979742173111</v>
      </c>
    </row>
    <row r="48" spans="1:9">
      <c r="A48" s="4">
        <v>2023</v>
      </c>
      <c r="B48" s="4" t="s">
        <v>24</v>
      </c>
      <c r="C48" s="4">
        <v>20</v>
      </c>
      <c r="D48" s="4">
        <v>1</v>
      </c>
      <c r="E48" s="4">
        <v>6</v>
      </c>
      <c r="F48" s="5">
        <v>3856</v>
      </c>
      <c r="G48" s="5">
        <v>5011</v>
      </c>
      <c r="H48" s="6"/>
      <c r="I48" s="6">
        <f t="shared" si="0"/>
        <v>0.76950708441428861</v>
      </c>
    </row>
    <row r="49" spans="1:9">
      <c r="A49" s="4">
        <v>2023</v>
      </c>
      <c r="B49" s="4" t="s">
        <v>23</v>
      </c>
      <c r="C49" s="4">
        <v>4</v>
      </c>
      <c r="D49" s="4">
        <v>5</v>
      </c>
      <c r="E49" s="4">
        <v>0</v>
      </c>
      <c r="F49" s="5">
        <v>3755</v>
      </c>
      <c r="G49" s="5">
        <v>5590</v>
      </c>
      <c r="H49" s="6"/>
      <c r="I49" s="6">
        <f t="shared" si="0"/>
        <v>0.67173524150268338</v>
      </c>
    </row>
  </sheetData>
  <mergeCells count="16">
    <mergeCell ref="L16:P16"/>
    <mergeCell ref="L17:P17"/>
    <mergeCell ref="L18:P18"/>
    <mergeCell ref="L19:P19"/>
    <mergeCell ref="L10:P10"/>
    <mergeCell ref="L11:P11"/>
    <mergeCell ref="L12:P12"/>
    <mergeCell ref="L13:P13"/>
    <mergeCell ref="L14:P14"/>
    <mergeCell ref="L15:P15"/>
    <mergeCell ref="L4:P4"/>
    <mergeCell ref="L5:P5"/>
    <mergeCell ref="L6:P6"/>
    <mergeCell ref="L7:P7"/>
    <mergeCell ref="L8:P8"/>
    <mergeCell ref="L9:P9"/>
  </mergeCells>
  <phoneticPr fontId="4" type="noConversion"/>
  <conditionalFormatting sqref="H2:H49">
    <cfRule type="expression" dxfId="2" priority="1">
      <formula>H2&lt;0</formula>
    </cfRule>
    <cfRule type="expression" dxfId="1" priority="2">
      <formula>H2&gt;0</formula>
    </cfRule>
  </conditionalFormatting>
  <conditionalFormatting sqref="I2:I49">
    <cfRule type="expression" dxfId="0" priority="3">
      <formula>I2&gt;=1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RowHeight="14.25"/>
  <cols>
    <col min="1" max="1" width="4.25" customWidth="1"/>
    <col min="2" max="2" width="7.875" customWidth="1"/>
    <col min="3" max="3" width="11.5" customWidth="1"/>
  </cols>
  <sheetData>
    <row r="1" spans="1:3" ht="15">
      <c r="A1" s="1" t="s">
        <v>0</v>
      </c>
      <c r="B1" s="1" t="s">
        <v>1</v>
      </c>
      <c r="C1" s="1" t="s">
        <v>25</v>
      </c>
    </row>
    <row r="2" spans="1:3">
      <c r="A2">
        <v>2023</v>
      </c>
      <c r="B2" t="s">
        <v>23</v>
      </c>
      <c r="C2" s="2">
        <v>47711</v>
      </c>
    </row>
    <row r="3" spans="1:3">
      <c r="A3">
        <v>2024</v>
      </c>
      <c r="B3" t="s">
        <v>23</v>
      </c>
      <c r="C3" s="2">
        <v>48363</v>
      </c>
    </row>
    <row r="4" spans="1:3">
      <c r="A4">
        <v>2025</v>
      </c>
      <c r="B4" t="s">
        <v>23</v>
      </c>
      <c r="C4" s="2">
        <v>49439</v>
      </c>
    </row>
    <row r="5" spans="1:3">
      <c r="A5">
        <v>2023</v>
      </c>
      <c r="B5" t="s">
        <v>13</v>
      </c>
      <c r="C5" s="2">
        <v>36131</v>
      </c>
    </row>
    <row r="6" spans="1:3">
      <c r="A6">
        <v>2024</v>
      </c>
      <c r="B6" t="s">
        <v>13</v>
      </c>
      <c r="C6" s="2">
        <v>35987</v>
      </c>
    </row>
    <row r="7" spans="1:3">
      <c r="A7">
        <v>2025</v>
      </c>
      <c r="B7" t="s">
        <v>13</v>
      </c>
      <c r="C7" s="2">
        <v>35835</v>
      </c>
    </row>
    <row r="8" spans="1:3">
      <c r="A8">
        <v>2023</v>
      </c>
      <c r="B8" t="s">
        <v>18</v>
      </c>
      <c r="C8" s="2">
        <v>32957</v>
      </c>
    </row>
    <row r="9" spans="1:3">
      <c r="A9">
        <v>2024</v>
      </c>
      <c r="B9" t="s">
        <v>18</v>
      </c>
      <c r="C9" s="2">
        <v>33311</v>
      </c>
    </row>
    <row r="10" spans="1:3">
      <c r="A10">
        <v>2025</v>
      </c>
      <c r="B10" t="s">
        <v>18</v>
      </c>
      <c r="C10" s="2">
        <v>33808</v>
      </c>
    </row>
    <row r="11" spans="1:3">
      <c r="A11">
        <v>2023</v>
      </c>
      <c r="B11" t="s">
        <v>21</v>
      </c>
      <c r="C11" s="2">
        <v>36417</v>
      </c>
    </row>
    <row r="12" spans="1:3">
      <c r="A12">
        <v>2024</v>
      </c>
      <c r="B12" t="s">
        <v>21</v>
      </c>
      <c r="C12" s="2">
        <v>36691</v>
      </c>
    </row>
    <row r="13" spans="1:3">
      <c r="A13">
        <v>2025</v>
      </c>
      <c r="B13" t="s">
        <v>21</v>
      </c>
      <c r="C13" s="2">
        <v>37135</v>
      </c>
    </row>
    <row r="14" spans="1:3">
      <c r="A14">
        <v>2023</v>
      </c>
      <c r="B14" t="s">
        <v>22</v>
      </c>
      <c r="C14" s="2">
        <v>24416</v>
      </c>
    </row>
    <row r="15" spans="1:3">
      <c r="A15">
        <v>2024</v>
      </c>
      <c r="B15" t="s">
        <v>22</v>
      </c>
      <c r="C15" s="2">
        <v>24444</v>
      </c>
    </row>
    <row r="16" spans="1:3">
      <c r="A16">
        <v>2025</v>
      </c>
      <c r="B16" t="s">
        <v>22</v>
      </c>
      <c r="C16" s="2">
        <v>24651</v>
      </c>
    </row>
    <row r="17" spans="1:3">
      <c r="A17">
        <v>2023</v>
      </c>
      <c r="B17" t="s">
        <v>17</v>
      </c>
      <c r="C17" s="2">
        <v>39391</v>
      </c>
    </row>
    <row r="18" spans="1:3">
      <c r="A18">
        <v>2024</v>
      </c>
      <c r="B18" t="s">
        <v>17</v>
      </c>
      <c r="C18" s="2">
        <v>39905</v>
      </c>
    </row>
    <row r="19" spans="1:3">
      <c r="A19">
        <v>2025</v>
      </c>
      <c r="B19" t="s">
        <v>17</v>
      </c>
      <c r="C19" s="2">
        <v>40151</v>
      </c>
    </row>
    <row r="20" spans="1:3">
      <c r="A20">
        <v>2023</v>
      </c>
      <c r="B20" t="s">
        <v>20</v>
      </c>
      <c r="C20" s="2">
        <v>65245</v>
      </c>
    </row>
    <row r="21" spans="1:3">
      <c r="A21">
        <v>2024</v>
      </c>
      <c r="B21" t="s">
        <v>20</v>
      </c>
      <c r="C21" s="2">
        <v>65888</v>
      </c>
    </row>
    <row r="22" spans="1:3">
      <c r="A22">
        <v>2025</v>
      </c>
      <c r="B22" t="s">
        <v>20</v>
      </c>
      <c r="C22" s="2">
        <v>66105</v>
      </c>
    </row>
    <row r="23" spans="1:3">
      <c r="A23">
        <v>2023</v>
      </c>
      <c r="B23" t="s">
        <v>16</v>
      </c>
      <c r="C23" s="2">
        <v>29652</v>
      </c>
    </row>
    <row r="24" spans="1:3">
      <c r="A24">
        <v>2024</v>
      </c>
      <c r="B24" t="s">
        <v>16</v>
      </c>
      <c r="C24" s="2">
        <v>29750</v>
      </c>
    </row>
    <row r="25" spans="1:3">
      <c r="A25">
        <v>2025</v>
      </c>
      <c r="B25" t="s">
        <v>16</v>
      </c>
      <c r="C25" s="2">
        <v>29733</v>
      </c>
    </row>
    <row r="26" spans="1:3">
      <c r="A26">
        <v>2023</v>
      </c>
      <c r="B26" t="s">
        <v>9</v>
      </c>
      <c r="C26" s="2">
        <v>45287</v>
      </c>
    </row>
    <row r="27" spans="1:3">
      <c r="A27">
        <v>2024</v>
      </c>
      <c r="B27" t="s">
        <v>9</v>
      </c>
      <c r="C27" s="2">
        <v>45051</v>
      </c>
    </row>
    <row r="28" spans="1:3">
      <c r="A28">
        <v>2025</v>
      </c>
      <c r="B28" t="s">
        <v>9</v>
      </c>
      <c r="C28" s="2">
        <v>44645</v>
      </c>
    </row>
    <row r="29" spans="1:3">
      <c r="A29">
        <v>2023</v>
      </c>
      <c r="B29" t="s">
        <v>15</v>
      </c>
      <c r="C29" s="2">
        <v>38332</v>
      </c>
    </row>
    <row r="30" spans="1:3">
      <c r="A30">
        <v>2024</v>
      </c>
      <c r="B30" t="s">
        <v>15</v>
      </c>
      <c r="C30" s="2">
        <v>38692</v>
      </c>
    </row>
    <row r="31" spans="1:3">
      <c r="A31">
        <v>2025</v>
      </c>
      <c r="B31" t="s">
        <v>15</v>
      </c>
      <c r="C31" s="2">
        <v>38654</v>
      </c>
    </row>
    <row r="32" spans="1:3">
      <c r="A32">
        <v>2023</v>
      </c>
      <c r="B32" t="s">
        <v>12</v>
      </c>
      <c r="C32" s="2">
        <v>15088</v>
      </c>
    </row>
    <row r="33" spans="1:3">
      <c r="A33">
        <v>2024</v>
      </c>
      <c r="B33" t="s">
        <v>12</v>
      </c>
      <c r="C33" s="2">
        <v>14997</v>
      </c>
    </row>
    <row r="34" spans="1:3">
      <c r="A34">
        <v>2025</v>
      </c>
      <c r="B34" t="s">
        <v>12</v>
      </c>
      <c r="C34" s="2">
        <v>14909</v>
      </c>
    </row>
    <row r="35" spans="1:3">
      <c r="A35">
        <v>2023</v>
      </c>
      <c r="B35" t="s">
        <v>24</v>
      </c>
      <c r="C35" s="2">
        <v>33785</v>
      </c>
    </row>
    <row r="36" spans="1:3">
      <c r="A36">
        <v>2024</v>
      </c>
      <c r="B36" t="s">
        <v>24</v>
      </c>
      <c r="C36" s="2">
        <v>34234</v>
      </c>
    </row>
    <row r="37" spans="1:3">
      <c r="A37">
        <v>2025</v>
      </c>
      <c r="B37" t="s">
        <v>24</v>
      </c>
      <c r="C37" s="2">
        <v>35054</v>
      </c>
    </row>
    <row r="38" spans="1:3">
      <c r="A38">
        <v>2023</v>
      </c>
      <c r="B38" t="s">
        <v>14</v>
      </c>
      <c r="C38" s="2">
        <v>33615</v>
      </c>
    </row>
    <row r="39" spans="1:3">
      <c r="A39">
        <v>2024</v>
      </c>
      <c r="B39" t="s">
        <v>14</v>
      </c>
      <c r="C39" s="2">
        <v>34269</v>
      </c>
    </row>
    <row r="40" spans="1:3">
      <c r="A40">
        <v>2025</v>
      </c>
      <c r="B40" t="s">
        <v>14</v>
      </c>
      <c r="C40" s="2">
        <v>34437</v>
      </c>
    </row>
    <row r="41" spans="1:3">
      <c r="A41">
        <v>2023</v>
      </c>
      <c r="B41" t="s">
        <v>11</v>
      </c>
      <c r="C41" s="2">
        <v>14883</v>
      </c>
    </row>
    <row r="42" spans="1:3">
      <c r="A42">
        <v>2024</v>
      </c>
      <c r="B42" t="s">
        <v>11</v>
      </c>
      <c r="C42" s="2">
        <v>14826</v>
      </c>
    </row>
    <row r="43" spans="1:3">
      <c r="A43">
        <v>2025</v>
      </c>
      <c r="B43" t="s">
        <v>11</v>
      </c>
      <c r="C43" s="2">
        <v>14752</v>
      </c>
    </row>
    <row r="44" spans="1:3">
      <c r="A44">
        <v>2023</v>
      </c>
      <c r="B44" t="s">
        <v>10</v>
      </c>
      <c r="C44" s="2">
        <v>22347</v>
      </c>
    </row>
    <row r="45" spans="1:3">
      <c r="A45">
        <v>2024</v>
      </c>
      <c r="B45" t="s">
        <v>10</v>
      </c>
      <c r="C45" s="2">
        <v>21931</v>
      </c>
    </row>
    <row r="46" spans="1:3">
      <c r="A46">
        <v>2025</v>
      </c>
      <c r="B46" t="s">
        <v>10</v>
      </c>
      <c r="C46" s="2">
        <v>21745</v>
      </c>
    </row>
    <row r="47" spans="1:3">
      <c r="A47">
        <v>2023</v>
      </c>
      <c r="B47" t="s">
        <v>19</v>
      </c>
      <c r="C47" s="2">
        <v>71117</v>
      </c>
    </row>
    <row r="48" spans="1:3">
      <c r="A48">
        <v>2024</v>
      </c>
      <c r="B48" t="s">
        <v>19</v>
      </c>
      <c r="C48" s="2">
        <v>71832</v>
      </c>
    </row>
    <row r="49" spans="1:3">
      <c r="A49">
        <v>2025</v>
      </c>
      <c r="B49" t="s">
        <v>19</v>
      </c>
      <c r="C49" s="2">
        <v>72168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25"/>
  <cols>
    <col min="1" max="1" width="20" customWidth="1"/>
    <col min="2" max="2" width="65" customWidth="1"/>
  </cols>
  <sheetData>
    <row r="1" spans="1:2" ht="15">
      <c r="A1" s="10" t="s">
        <v>26</v>
      </c>
      <c r="B1" s="10" t="s">
        <v>27</v>
      </c>
    </row>
    <row r="2" spans="1:2" ht="28.5">
      <c r="A2" s="11" t="s">
        <v>28</v>
      </c>
      <c r="B2" s="11" t="s">
        <v>29</v>
      </c>
    </row>
    <row r="3" spans="1:2">
      <c r="A3" s="11" t="s">
        <v>30</v>
      </c>
      <c r="B3" s="11" t="s">
        <v>31</v>
      </c>
    </row>
    <row r="4" spans="1:2">
      <c r="A4" s="11" t="s">
        <v>7</v>
      </c>
      <c r="B4" s="11" t="s">
        <v>32</v>
      </c>
    </row>
    <row r="5" spans="1:2">
      <c r="A5" s="11" t="s">
        <v>33</v>
      </c>
      <c r="B5" s="11" t="s">
        <v>34</v>
      </c>
    </row>
    <row r="6" spans="1:2" ht="28.5">
      <c r="A6" s="11" t="s">
        <v>35</v>
      </c>
      <c r="B6" s="11" t="s">
        <v>36</v>
      </c>
    </row>
    <row r="7" spans="1:2" ht="28.5">
      <c r="A7" s="11" t="s">
        <v>37</v>
      </c>
      <c r="B7" s="11" t="s">
        <v>38</v>
      </c>
    </row>
    <row r="8" spans="1:2" ht="28.5">
      <c r="A8" s="11" t="s">
        <v>39</v>
      </c>
      <c r="B8" s="11" t="s">
        <v>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구별_분석표</vt:lpstr>
      <vt:lpstr>가동사업자_원본</vt:lpstr>
      <vt:lpstr>산출기준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2026-08-14T07:26:24Z</dcterms:modified>
</cp:coreProperties>
</file>